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setyo Ardi Probo Suseno" sheetId="1" r:id="rId5"/>
    <sheet state="visible" name="Dony Hidayat" sheetId="2" r:id="rId6"/>
    <sheet state="visible" name="Andika" sheetId="3" r:id="rId7"/>
    <sheet state="visible" name="Andika1" sheetId="4" r:id="rId8"/>
  </sheets>
  <definedNames/>
  <calcPr/>
</workbook>
</file>

<file path=xl/sharedStrings.xml><?xml version="1.0" encoding="utf-8"?>
<sst xmlns="http://schemas.openxmlformats.org/spreadsheetml/2006/main" count="163" uniqueCount="64">
  <si>
    <t>\</t>
  </si>
  <si>
    <t>ORGANISASI RISET PENERBANGAN DAN ANTARIKSA</t>
  </si>
  <si>
    <t>Kawasan Sains dan Teknologi (KST) Bacharuddin Jusuf Habibie,</t>
  </si>
  <si>
    <t xml:space="preserve">Jl. Raya Puspiptek 60, Tangerang Selatan 15310 </t>
  </si>
  <si>
    <t>Telepon/WA : 081110646788, Surel: orpa@brin.go.id</t>
  </si>
  <si>
    <r>
      <rPr>
        <rFont val="Calibri"/>
        <b/>
        <sz val="15.0"/>
      </rPr>
      <t xml:space="preserve">                              Laman : </t>
    </r>
    <r>
      <rPr>
        <rFont val="Calibri"/>
        <b/>
        <color rgb="FF1155CC"/>
        <sz val="15.0"/>
        <u/>
      </rPr>
      <t>https://www.brin.go.id</t>
    </r>
  </si>
  <si>
    <r>
      <rPr>
        <rFont val="Calibri"/>
        <b/>
        <sz val="15.0"/>
      </rPr>
      <t xml:space="preserve">                              Laman : </t>
    </r>
    <r>
      <rPr>
        <rFont val="Calibri"/>
        <b/>
        <color rgb="FF1155CC"/>
        <sz val="15.0"/>
        <u/>
      </rPr>
      <t>https://www.brin.go.id</t>
    </r>
  </si>
  <si>
    <r>
      <rPr>
        <rFont val="Calibri"/>
        <b/>
        <sz val="15.0"/>
      </rPr>
      <t xml:space="preserve">                              Laman : </t>
    </r>
    <r>
      <rPr>
        <rFont val="Calibri"/>
        <b/>
        <color rgb="FF1155CC"/>
        <sz val="15.0"/>
        <u/>
      </rPr>
      <t>https://www.brin.go.id</t>
    </r>
  </si>
  <si>
    <r>
      <rPr>
        <rFont val="Calibri"/>
        <b/>
        <sz val="15.0"/>
      </rPr>
      <t xml:space="preserve">                              Laman : </t>
    </r>
    <r>
      <rPr>
        <rFont val="Calibri"/>
        <b/>
        <color rgb="FF1155CC"/>
        <sz val="15.0"/>
        <u/>
      </rPr>
      <t>https://www.brin.go.id</t>
    </r>
  </si>
  <si>
    <t>HARGA PERKIRAAN SENDIRI</t>
  </si>
  <si>
    <t>Nomor : 004/ORPA/HPS/CFC 3.1/09/2026</t>
  </si>
  <si>
    <t>No</t>
  </si>
  <si>
    <t>Spesisikasi</t>
  </si>
  <si>
    <t>Volume</t>
  </si>
  <si>
    <t>Harga (Rp)</t>
  </si>
  <si>
    <t>Keterangan</t>
  </si>
  <si>
    <t>Jumlah</t>
  </si>
  <si>
    <t>Satuan</t>
  </si>
  <si>
    <t>Harga Satuan</t>
  </si>
  <si>
    <t>Creality Ender 5 MAX Cover 3D Printer Enclosure Box</t>
  </si>
  <si>
    <t>Jasa Pengukuran Sound Pressure Camera</t>
  </si>
  <si>
    <t>MICROEPSILON Draw-wire displacement sensor Model  : WDS-5000-P115-SR-U
Range : 5000 mm</t>
  </si>
  <si>
    <t>End Mill Ø16 mm - Diameter potong 16 mm 
- Panjang mata potong 32 mm
- Diameter batang 16 mm
- Material solid carbide
- Ujung datar</t>
  </si>
  <si>
    <t>pcs</t>
  </si>
  <si>
    <t>Surat Penawaran Harga</t>
  </si>
  <si>
    <t>End Mill Ø10 mm R0,6 - Diameter potong 10 mm 
- Radius sudut R0,6
- Diameter batang 10 mm
- Panjang mata potong 25 mm
- Material solid carbide</t>
  </si>
  <si>
    <t>https://www.3dfilament.co.id/creality-ender-5-max-cover-3d-printer-enclosure-box-5308</t>
  </si>
  <si>
    <t>Quotation PT Taharica</t>
  </si>
  <si>
    <t>End Mill Ø4 mm - Diameter potong 4 mm
- Panjang mata potong 12 mm
- Diameter batang 4 mm
- Material solid carbide
- Ujung datar</t>
  </si>
  <si>
    <t>Total (termasuk pajak)</t>
  </si>
  <si>
    <t>Inclinometer Digital Varian : Dengan laser
Ukuran : 60 x 60 30 mm</t>
  </si>
  <si>
    <t>T-Slot Milling Cutter Ø13 × 3 mm dengan Modifikasi Leher 2,5 mm - Diameter kepala pemotong 13 mm
- Ketebalan mata potong 3 mm
- Material high-speed steel atau HSS
- Geometri T-slot milling cutter 
- bagian leher di belakang kepala pemotong dimodifikasi menjadi 2,5 mm dengan panjang 10 mm dan 20 mm</t>
  </si>
  <si>
    <t>Rangka Besi Hollow 6 x3 cm sesuai desain</t>
  </si>
  <si>
    <t>Jaring Besi (Wire Mesh Screen) Stainless Steel dimensi 1500 x 1500</t>
  </si>
  <si>
    <t>https://id.shp.ee/HRbwj5zy</t>
  </si>
  <si>
    <t>3D Printer Filament eSUN PLA Plus Environment Friendly Material Smooth Surface 1.75mm 1kg - Warna Putih</t>
  </si>
  <si>
    <t>Busa lantai Polyuretane 200x50 cm</t>
  </si>
  <si>
    <t>Terbilang : Delapan belas juta tiga puluh tujuh ribu lima ratus rupiah.</t>
  </si>
  <si>
    <t>paket</t>
  </si>
  <si>
    <t>https://katalog.inaproc.id/barra-zahwan/3d-printer-filament-pla-plus</t>
  </si>
  <si>
    <t>Busa rangka besi wire mesh Polyuretane 200x150 x 4 cm</t>
  </si>
  <si>
    <t>Multipleks plywoods 8 mm</t>
  </si>
  <si>
    <t>Adapter Model Propeller ke Motor Listrik</t>
  </si>
  <si>
    <t>Solder Tangan Tipe : AB404-002 Daya : 80 watt</t>
  </si>
  <si>
    <t>Casing baterai silinder Plastik ABS</t>
  </si>
  <si>
    <t>https://id.shp.ee/eWcBmYzc</t>
  </si>
  <si>
    <t>Tangerang Selatan, 21 September 2026</t>
  </si>
  <si>
    <t>Multimeter Digital Saku Tipe : Aneng AN101
Ukuran : 125 x 80 x 19 mm</t>
  </si>
  <si>
    <t>Terbilang : Empat puluh juta lima ratus empat puluh tiga ribu enam ratus tiga puluh enam rupiah.</t>
  </si>
  <si>
    <t>Badan Riset dan Inovasi Nasional</t>
  </si>
  <si>
    <t>Terbilang : Dua puluh enam juta lima ratus tujuh puluh delapan ribu lima ratus sepuluh rupiah.</t>
  </si>
  <si>
    <t>PIC Penerbangan - ORPA</t>
  </si>
  <si>
    <t>https://id.shp.ee/hGsgikWA</t>
  </si>
  <si>
    <t>Penanggung Jawab Kegiatan SBKU</t>
  </si>
  <si>
    <t>Dudukan IEPE Force Transducer Material : Carbon Steel</t>
  </si>
  <si>
    <t>Muhammad Doni Rangkuti</t>
  </si>
  <si>
    <t>set</t>
  </si>
  <si>
    <t>Andri Prihatmoko, S.IP.</t>
  </si>
  <si>
    <t>Quotation CV. AG Manufacture</t>
  </si>
  <si>
    <t>NIP. 197512141997031003</t>
  </si>
  <si>
    <t>NIP. 198309022008011008</t>
  </si>
  <si>
    <t>PIC Roket - ORPA</t>
  </si>
  <si>
    <t xml:space="preserve">NIP. </t>
  </si>
  <si>
    <t>Muhamad Doni Rangkuti,SE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</si>
</sst>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5.0"/>
      <color theme="1"/>
      <name val="Calibri"/>
    </font>
    <font>
      <b/>
      <u/>
      <sz val="15.0"/>
      <color rgb="FF0000FF"/>
      <name val="Calibri"/>
    </font>
    <font>
      <b/>
      <sz val="14.0"/>
      <color theme="1"/>
      <name val="Calibri"/>
    </font>
    <font>
      <b/>
      <sz val="11.0"/>
      <color theme="1"/>
      <name val="Calibri"/>
    </font>
    <font/>
    <font>
      <sz val="12.0"/>
      <color rgb="FF000000"/>
      <name val="Calibri"/>
    </font>
    <font>
      <sz val="12.0"/>
      <color rgb="FF000000"/>
      <name val="Arial"/>
    </font>
    <font>
      <sz val="12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b/>
      <i/>
      <sz val="11.0"/>
      <color theme="1"/>
      <name val="Calibri"/>
    </font>
    <font>
      <u/>
      <sz val="11.0"/>
      <color rgb="FF0462C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center" vertical="bottom"/>
    </xf>
    <xf borderId="4" fillId="0" fontId="7" numFmtId="0" xfId="0" applyBorder="1" applyFont="1"/>
    <xf borderId="5" fillId="0" fontId="6" numFmtId="0" xfId="0" applyAlignment="1" applyBorder="1" applyFont="1">
      <alignment horizontal="center" vertical="bottom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readingOrder="0" shrinkToFit="0" vertical="top" wrapText="1"/>
    </xf>
    <xf borderId="10" fillId="0" fontId="8" numFmtId="0" xfId="0" applyAlignment="1" applyBorder="1" applyFont="1">
      <alignment readingOrder="0" shrinkToFit="0" vertical="center" wrapText="1"/>
    </xf>
    <xf borderId="10" fillId="0" fontId="9" numFmtId="0" xfId="0" applyAlignment="1" applyBorder="1" applyFont="1">
      <alignment readingOrder="0" shrinkToFit="0" vertical="top" wrapText="1"/>
    </xf>
    <xf borderId="10" fillId="2" fontId="10" numFmtId="3" xfId="0" applyAlignment="1" applyBorder="1" applyFill="1" applyFont="1" applyNumberFormat="1">
      <alignment horizontal="center" shrinkToFit="0" vertical="center" wrapText="1"/>
    </xf>
    <xf borderId="10" fillId="2" fontId="10" numFmtId="0" xfId="0" applyAlignment="1" applyBorder="1" applyFill="1" applyFont="1">
      <alignment horizontal="center" readingOrder="0" shrinkToFit="0" vertical="center" wrapText="1"/>
    </xf>
    <xf borderId="10" fillId="0" fontId="10" numFmtId="164" xfId="0" applyAlignment="1" applyBorder="1" applyFont="1" applyNumberFormat="1">
      <alignment readingOrder="0" shrinkToFit="0" vertical="center" wrapText="1"/>
    </xf>
    <xf borderId="10" fillId="2" fontId="10" numFmtId="3" xfId="0" applyAlignment="1" applyBorder="1" applyFill="1" applyFont="1" applyNumberFormat="1">
      <alignment horizontal="center" readingOrder="0"/>
    </xf>
    <xf borderId="10" fillId="2" fontId="10" numFmtId="0" xfId="0" applyAlignment="1" applyBorder="1" applyFill="1" applyFont="1">
      <alignment horizontal="center" readingOrder="0"/>
    </xf>
    <xf borderId="10" fillId="0" fontId="10" numFmtId="164" xfId="0" applyAlignment="1" applyBorder="1" applyFont="1" applyNumberFormat="1">
      <alignment readingOrder="0" vertical="bottom"/>
    </xf>
    <xf borderId="10" fillId="0" fontId="10" numFmtId="164" xfId="0" applyAlignment="1" applyBorder="1" applyFont="1" applyNumberFormat="1">
      <alignment horizontal="right" readingOrder="0" vertical="bottom"/>
    </xf>
    <xf borderId="10" fillId="2" fontId="10" numFmtId="3" xfId="0" applyAlignment="1" applyBorder="1" applyFill="1" applyFont="1" applyNumberFormat="1">
      <alignment horizontal="center"/>
    </xf>
    <xf borderId="10" fillId="0" fontId="10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center"/>
    </xf>
    <xf borderId="10" fillId="0" fontId="10" numFmtId="164" xfId="0" applyAlignment="1" applyBorder="1" applyFont="1" applyNumberFormat="1">
      <alignment horizontal="right" shrinkToFit="0" vertical="center" wrapText="1"/>
    </xf>
    <xf borderId="10" fillId="0" fontId="10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0" fillId="2" fontId="10" numFmtId="0" xfId="0" applyAlignment="1" applyBorder="1" applyFill="1" applyFont="1">
      <alignment readingOrder="0" shrinkToFit="0" vertical="top" wrapText="1"/>
    </xf>
    <xf borderId="10" fillId="2" fontId="10" numFmtId="0" xfId="0" applyAlignment="1" applyBorder="1" applyFill="1" applyFont="1">
      <alignment readingOrder="0" shrinkToFit="0" vertical="center" wrapText="1"/>
    </xf>
    <xf borderId="10" fillId="0" fontId="10" numFmtId="164" xfId="0" applyAlignment="1" applyBorder="1" applyFont="1" applyNumberFormat="1">
      <alignment horizontal="right" vertical="bottom"/>
    </xf>
    <xf borderId="10" fillId="2" fontId="10" numFmtId="3" xfId="0" applyAlignment="1" applyBorder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vertical="bottom"/>
    </xf>
    <xf borderId="10" fillId="0" fontId="10" numFmtId="164" xfId="0" applyAlignment="1" applyBorder="1" applyFont="1" applyNumberFormat="1">
      <alignment horizontal="right" readingOrder="0" shrinkToFit="0" vertical="center" wrapText="1"/>
    </xf>
    <xf borderId="0" fillId="2" fontId="11" numFmtId="0" xfId="0" applyAlignment="1" applyFill="1" applyFont="1">
      <alignment shrinkToFit="0" wrapText="1"/>
    </xf>
    <xf borderId="3" fillId="0" fontId="2" numFmtId="0" xfId="0" applyAlignment="1" applyBorder="1" applyFont="1">
      <alignment vertical="bottom"/>
    </xf>
    <xf borderId="5" fillId="0" fontId="7" numFmtId="0" xfId="0" applyBorder="1" applyFont="1"/>
    <xf borderId="10" fillId="0" fontId="2" numFmtId="0" xfId="0" applyAlignment="1" applyBorder="1" applyFont="1">
      <alignment vertical="bottom"/>
    </xf>
    <xf borderId="0" fillId="0" fontId="12" numFmtId="0" xfId="0" applyFont="1"/>
    <xf borderId="10" fillId="2" fontId="10" numFmtId="0" xfId="0" applyAlignment="1" applyBorder="1" applyFill="1" applyFont="1">
      <alignment horizontal="center"/>
    </xf>
    <xf borderId="0" fillId="0" fontId="13" numFmtId="0" xfId="0" applyAlignment="1" applyFont="1">
      <alignment readingOrder="0" vertical="bottom"/>
    </xf>
    <xf borderId="10" fillId="0" fontId="2" numFmtId="164" xfId="0" applyAlignment="1" applyBorder="1" applyFont="1" applyNumberFormat="1">
      <alignment horizontal="right" vertical="bottom"/>
    </xf>
    <xf borderId="2" fillId="0" fontId="14" numFmtId="0" xfId="0" applyAlignment="1" applyBorder="1" applyFont="1">
      <alignment readingOrder="0" vertical="bottom"/>
    </xf>
    <xf borderId="11" fillId="0" fontId="7" numFmtId="0" xfId="0" applyBorder="1" applyFont="1"/>
    <xf borderId="12" fillId="0" fontId="7" numFmtId="0" xfId="0" applyBorder="1" applyFont="1"/>
    <xf borderId="1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vertical="bottom"/>
    </xf>
    <xf borderId="5" fillId="2" fontId="10" numFmtId="0" xfId="0" applyAlignment="1" applyBorder="1" applyFill="1" applyFont="1">
      <alignment readingOrder="0" shrinkToFit="0" vertical="center" wrapText="1"/>
    </xf>
    <xf borderId="11" fillId="2" fontId="10" numFmtId="0" xfId="0" applyAlignment="1" applyBorder="1" applyFill="1" applyFont="1">
      <alignment readingOrder="0" shrinkToFit="0" vertical="top" wrapText="1"/>
    </xf>
    <xf borderId="5" fillId="2" fontId="10" numFmtId="3" xfId="0" applyAlignment="1" applyBorder="1" applyFill="1" applyFont="1" applyNumberFormat="1">
      <alignment horizontal="center" readingOrder="0" shrinkToFit="0" vertical="center" wrapText="1"/>
    </xf>
    <xf borderId="11" fillId="2" fontId="10" numFmtId="3" xfId="0" applyAlignment="1" applyBorder="1" applyFill="1" applyFont="1" applyNumberFormat="1">
      <alignment horizontal="center" readingOrder="0"/>
    </xf>
    <xf borderId="11" fillId="2" fontId="10" numFmtId="0" xfId="0" applyAlignment="1" applyBorder="1" applyFill="1" applyFont="1">
      <alignment horizontal="center" readingOrder="0"/>
    </xf>
    <xf borderId="11" fillId="0" fontId="10" numFmtId="164" xfId="0" applyAlignment="1" applyBorder="1" applyFont="1" applyNumberFormat="1">
      <alignment horizontal="right" readingOrder="0" vertical="bottom"/>
    </xf>
    <xf borderId="4" fillId="2" fontId="10" numFmtId="0" xfId="0" applyAlignment="1" applyBorder="1" applyFill="1" applyFont="1">
      <alignment horizontal="center" readingOrder="0" shrinkToFit="0" vertical="center" wrapText="1"/>
    </xf>
    <xf borderId="11" fillId="0" fontId="10" numFmtId="16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0" fillId="2" fontId="2" numFmtId="0" xfId="0" applyAlignment="1" applyFill="1" applyFont="1">
      <alignment shrinkToFit="0" vertical="top" wrapText="1"/>
    </xf>
    <xf borderId="0" fillId="2" fontId="2" numFmtId="3" xfId="0" applyAlignment="1" applyFill="1" applyFont="1" applyNumberFormat="1">
      <alignment horizontal="center"/>
    </xf>
    <xf borderId="5" fillId="0" fontId="2" numFmtId="0" xfId="0" applyAlignment="1" applyBorder="1" applyFont="1">
      <alignment vertical="bottom"/>
    </xf>
    <xf borderId="0" fillId="2" fontId="2" numFmtId="0" xfId="0" applyAlignment="1" applyFill="1" applyFont="1">
      <alignment horizontal="center"/>
    </xf>
    <xf borderId="0" fillId="0" fontId="2" numFmtId="164" xfId="0" applyAlignment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0" fillId="0" fontId="2" numFmtId="3" xfId="0" applyAlignment="1" applyFont="1" applyNumberFormat="1">
      <alignment horizontal="right" vertical="bottom"/>
    </xf>
    <xf borderId="10" fillId="0" fontId="2" numFmtId="164" xfId="0" applyAlignment="1" applyBorder="1" applyFont="1" applyNumberFormat="1">
      <alignment horizontal="right" shrinkToFit="0" vertical="center" wrapText="1"/>
    </xf>
    <xf borderId="10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3" fillId="0" fontId="14" numFmtId="0" xfId="0" applyAlignment="1" applyBorder="1" applyFont="1">
      <alignment readingOrder="0" vertical="bottom"/>
    </xf>
    <xf borderId="0" fillId="0" fontId="2" numFmtId="0" xfId="0" applyAlignment="1" applyFont="1">
      <alignment vertical="top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n.go.id/" TargetMode="External"/><Relationship Id="rId2" Type="http://schemas.openxmlformats.org/officeDocument/2006/relationships/hyperlink" Target="https://www.3dfilament.co.id/creality-ender-5-max-cover-3d-printer-enclosure-box-5308" TargetMode="External"/><Relationship Id="rId3" Type="http://schemas.openxmlformats.org/officeDocument/2006/relationships/hyperlink" Target="https://katalog.inaproc.id/barra-zahwan/3d-printer-filament-pla-plu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n.go.id/" TargetMode="External"/><Relationship Id="rId2" Type="http://schemas.openxmlformats.org/officeDocument/2006/relationships/hyperlink" Target="https://id.shp.ee/HRbwj5zy" TargetMode="External"/><Relationship Id="rId3" Type="http://schemas.openxmlformats.org/officeDocument/2006/relationships/hyperlink" Target="https://id.shp.ee/eWcBmYzc" TargetMode="External"/><Relationship Id="rId4" Type="http://schemas.openxmlformats.org/officeDocument/2006/relationships/hyperlink" Target="https://id.shp.ee/hGsgikWA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n.go.id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in.go.id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86.88"/>
    <col customWidth="1" min="6" max="6" width="18.88"/>
    <col customWidth="1" min="7" max="7" width="17.5"/>
    <col customWidth="1" min="9" max="9" width="24.0"/>
  </cols>
  <sheetData>
    <row r="1">
      <c r="C1" s="1"/>
    </row>
    <row r="2">
      <c r="C2" s="1"/>
    </row>
    <row r="3">
      <c r="B3" s="3"/>
      <c r="C3" s="4"/>
      <c r="D3" s="3"/>
      <c r="E3" s="3"/>
      <c r="F3" s="3"/>
      <c r="G3" s="3"/>
      <c r="H3" s="3"/>
      <c r="I3" s="3"/>
      <c r="J3" s="3"/>
      <c r="K3" s="3"/>
    </row>
    <row r="4">
      <c r="B4" s="3"/>
      <c r="C4" s="5" t="s">
        <v>1</v>
      </c>
      <c r="H4" s="3"/>
      <c r="I4" s="3"/>
      <c r="J4" s="3"/>
      <c r="K4" s="3"/>
    </row>
    <row r="5">
      <c r="B5" s="3"/>
      <c r="C5" s="6" t="s">
        <v>2</v>
      </c>
      <c r="H5" s="3"/>
      <c r="I5" s="3"/>
      <c r="J5" s="3"/>
      <c r="K5" s="3"/>
    </row>
    <row r="6">
      <c r="B6" s="3"/>
      <c r="C6" s="6" t="s">
        <v>3</v>
      </c>
      <c r="H6" s="3"/>
      <c r="I6" s="3"/>
      <c r="J6" s="3"/>
      <c r="K6" s="3"/>
    </row>
    <row r="7">
      <c r="B7" s="3"/>
      <c r="C7" s="6" t="s">
        <v>4</v>
      </c>
      <c r="H7" s="3"/>
      <c r="I7" s="3"/>
      <c r="J7" s="3"/>
      <c r="K7" s="3"/>
    </row>
    <row r="8">
      <c r="B8" s="3"/>
      <c r="C8" s="7" t="s">
        <v>7</v>
      </c>
      <c r="G8" s="3"/>
      <c r="H8" s="3"/>
      <c r="I8" s="3"/>
      <c r="J8" s="3"/>
      <c r="K8" s="3"/>
    </row>
    <row r="9">
      <c r="B9" s="3"/>
      <c r="C9" s="4"/>
      <c r="D9" s="3"/>
      <c r="E9" s="3"/>
      <c r="F9" s="3"/>
      <c r="G9" s="3"/>
      <c r="H9" s="3"/>
      <c r="I9" s="3"/>
      <c r="J9" s="3"/>
      <c r="K9" s="3"/>
    </row>
    <row r="10">
      <c r="B10" s="8" t="s">
        <v>9</v>
      </c>
      <c r="I10" s="3"/>
      <c r="J10" s="3"/>
      <c r="K10" s="3"/>
    </row>
    <row r="11">
      <c r="B11" s="9" t="s">
        <v>10</v>
      </c>
      <c r="I11" s="3"/>
      <c r="J11" s="3"/>
      <c r="K11" s="3"/>
    </row>
    <row r="12">
      <c r="B12" s="3"/>
      <c r="C12" s="4"/>
      <c r="D12" s="3"/>
      <c r="E12" s="3"/>
      <c r="F12" s="3"/>
      <c r="G12" s="3"/>
      <c r="H12" s="3"/>
      <c r="I12" s="3"/>
      <c r="J12" s="3"/>
      <c r="K12" s="3"/>
    </row>
    <row r="13">
      <c r="B13" s="3"/>
      <c r="C13" s="4"/>
      <c r="D13" s="3"/>
      <c r="E13" s="3"/>
      <c r="F13" s="3"/>
      <c r="G13" s="3"/>
      <c r="H13" s="3"/>
      <c r="I13" s="3"/>
      <c r="J13" s="3"/>
      <c r="K13" s="3"/>
    </row>
    <row r="14">
      <c r="B14" s="10" t="s">
        <v>11</v>
      </c>
      <c r="C14" s="11" t="s">
        <v>12</v>
      </c>
      <c r="D14" s="12" t="s">
        <v>13</v>
      </c>
      <c r="E14" s="13"/>
      <c r="F14" s="14" t="s">
        <v>14</v>
      </c>
      <c r="G14" s="13"/>
      <c r="H14" s="10" t="s">
        <v>15</v>
      </c>
      <c r="I14" s="3"/>
      <c r="J14" s="3"/>
      <c r="K14" s="3"/>
    </row>
    <row r="15">
      <c r="B15" s="15"/>
      <c r="C15" s="16"/>
      <c r="D15" s="17" t="s">
        <v>16</v>
      </c>
      <c r="E15" s="18" t="s">
        <v>17</v>
      </c>
      <c r="F15" s="18" t="s">
        <v>18</v>
      </c>
      <c r="G15" s="19" t="s">
        <v>16</v>
      </c>
      <c r="H15" s="15"/>
      <c r="I15" s="3"/>
      <c r="J15" s="3"/>
      <c r="K15" s="3"/>
    </row>
    <row r="16">
      <c r="B16" s="20">
        <v>1.0</v>
      </c>
      <c r="C16" s="22" t="s">
        <v>19</v>
      </c>
      <c r="D16" s="28">
        <v>2.0</v>
      </c>
      <c r="E16" s="29" t="s">
        <v>23</v>
      </c>
      <c r="F16" s="30">
        <f>1848000*1.2</f>
        <v>2217600</v>
      </c>
      <c r="G16" s="40">
        <f t="shared" ref="G16:G17" si="1">F16*D16</f>
        <v>4435200</v>
      </c>
      <c r="H16" s="33"/>
      <c r="I16" s="50" t="s">
        <v>26</v>
      </c>
      <c r="J16" s="3"/>
      <c r="K16" s="3"/>
    </row>
    <row r="17">
      <c r="B17" s="20">
        <v>2.0</v>
      </c>
      <c r="C17" s="38" t="s">
        <v>35</v>
      </c>
      <c r="D17" s="28">
        <v>10.0</v>
      </c>
      <c r="E17" s="29" t="s">
        <v>23</v>
      </c>
      <c r="F17" s="31">
        <v>298590.0</v>
      </c>
      <c r="G17" s="40">
        <f t="shared" si="1"/>
        <v>2985900</v>
      </c>
      <c r="H17" s="33"/>
      <c r="I17" s="50" t="s">
        <v>39</v>
      </c>
      <c r="J17" s="44"/>
      <c r="K17" s="3"/>
    </row>
    <row r="18">
      <c r="B18" s="45"/>
      <c r="C18" s="46"/>
      <c r="D18" s="46"/>
      <c r="E18" s="13"/>
      <c r="F18" s="47" t="s">
        <v>29</v>
      </c>
      <c r="G18" s="51">
        <f>SUM(G16:G17)</f>
        <v>7421100</v>
      </c>
      <c r="H18" s="47"/>
      <c r="I18" s="42"/>
      <c r="J18" s="48"/>
      <c r="K18" s="3"/>
    </row>
    <row r="19">
      <c r="B19" s="52" t="s">
        <v>48</v>
      </c>
      <c r="C19" s="53"/>
      <c r="D19" s="53"/>
      <c r="E19" s="53"/>
      <c r="F19" s="53"/>
      <c r="G19" s="54"/>
      <c r="H19" s="55"/>
      <c r="I19" s="42"/>
      <c r="J19" s="48"/>
      <c r="K19" s="3"/>
    </row>
    <row r="20">
      <c r="B20" s="57"/>
      <c r="C20" s="59"/>
      <c r="D20" s="61"/>
      <c r="E20" s="62"/>
      <c r="F20" s="63"/>
      <c r="G20" s="65"/>
      <c r="H20" s="66"/>
      <c r="I20" s="42"/>
      <c r="J20" s="48"/>
      <c r="K20" s="3"/>
    </row>
    <row r="21">
      <c r="I21" s="3"/>
      <c r="J21" s="48"/>
      <c r="K21" s="3"/>
    </row>
    <row r="22">
      <c r="I22" s="3"/>
      <c r="J22" s="48"/>
      <c r="K22" s="3"/>
    </row>
    <row r="23">
      <c r="B23" s="9"/>
      <c r="C23" s="67"/>
      <c r="D23" s="68"/>
      <c r="E23" s="70"/>
      <c r="F23" s="71"/>
      <c r="G23" s="71"/>
      <c r="H23" s="3"/>
      <c r="I23" s="3"/>
      <c r="J23" s="48"/>
      <c r="K23" s="3"/>
    </row>
    <row r="24">
      <c r="B24" s="9"/>
      <c r="C24" s="67"/>
      <c r="D24" s="68"/>
      <c r="E24" s="70"/>
      <c r="F24" s="73"/>
      <c r="G24" s="71"/>
      <c r="H24" s="3"/>
      <c r="I24" s="3"/>
      <c r="J24" s="44"/>
      <c r="K24" s="3"/>
    </row>
    <row r="25">
      <c r="B25" s="3"/>
      <c r="C25" s="4"/>
      <c r="D25" s="3"/>
      <c r="E25" s="3"/>
      <c r="F25" s="3" t="s">
        <v>46</v>
      </c>
      <c r="H25" s="3"/>
      <c r="I25" s="3"/>
      <c r="J25" s="3"/>
      <c r="K25" s="3"/>
    </row>
    <row r="26">
      <c r="B26" s="3"/>
      <c r="C26" s="4"/>
      <c r="D26" s="3"/>
      <c r="E26" s="3"/>
      <c r="F26" s="3"/>
      <c r="G26" s="3"/>
      <c r="H26" s="3"/>
      <c r="I26" s="3"/>
      <c r="J26" s="44"/>
      <c r="K26" s="3"/>
    </row>
    <row r="27">
      <c r="B27" s="3" t="s">
        <v>49</v>
      </c>
      <c r="D27" s="3"/>
      <c r="E27" s="3"/>
      <c r="F27" s="3" t="s">
        <v>49</v>
      </c>
      <c r="H27" s="3"/>
      <c r="I27" s="3"/>
      <c r="J27" s="44"/>
      <c r="K27" s="3"/>
    </row>
    <row r="28">
      <c r="B28" s="3" t="s">
        <v>61</v>
      </c>
      <c r="D28" s="3"/>
      <c r="E28" s="3"/>
      <c r="F28" s="3" t="s">
        <v>53</v>
      </c>
      <c r="H28" s="3"/>
      <c r="I28" s="3"/>
      <c r="J28" s="44"/>
      <c r="K28" s="3"/>
    </row>
    <row r="29">
      <c r="B29" s="3"/>
      <c r="C29" s="4"/>
      <c r="D29" s="3"/>
      <c r="E29" s="3"/>
      <c r="F29" s="3"/>
      <c r="G29" s="3"/>
      <c r="H29" s="3"/>
      <c r="I29" s="3"/>
      <c r="J29" s="3"/>
    </row>
    <row r="30">
      <c r="B30" s="78"/>
      <c r="C30" s="4"/>
      <c r="D30" s="3"/>
      <c r="E30" s="3"/>
      <c r="H30" s="3"/>
      <c r="I30" s="3"/>
      <c r="J30" s="79"/>
      <c r="K30" s="3"/>
    </row>
    <row r="31">
      <c r="B31" s="3"/>
      <c r="C31" s="4"/>
      <c r="D31" s="3"/>
      <c r="I31" s="3"/>
      <c r="J31" s="3"/>
      <c r="K31" s="3"/>
    </row>
    <row r="32">
      <c r="B32" s="3"/>
      <c r="C32" s="4"/>
      <c r="D32" s="3"/>
      <c r="I32" s="3"/>
      <c r="J32" s="3"/>
      <c r="K32" s="3"/>
    </row>
    <row r="33">
      <c r="B33" s="81"/>
      <c r="D33" s="3"/>
      <c r="E33" s="3"/>
      <c r="F33" s="81" t="s">
        <v>57</v>
      </c>
      <c r="H33" s="3"/>
      <c r="I33" s="3"/>
      <c r="J33" s="3"/>
      <c r="K33" s="3"/>
    </row>
    <row r="34">
      <c r="B34" s="42" t="s">
        <v>62</v>
      </c>
      <c r="D34" s="3"/>
      <c r="E34" s="3"/>
      <c r="F34" s="3" t="s">
        <v>60</v>
      </c>
      <c r="H34" s="3"/>
      <c r="I34" s="3"/>
      <c r="J34" s="3"/>
      <c r="K34" s="3"/>
    </row>
    <row r="35">
      <c r="H35" s="3"/>
      <c r="I35" s="3"/>
      <c r="J35" s="3"/>
      <c r="K35" s="3"/>
    </row>
    <row r="36">
      <c r="H36" s="3"/>
      <c r="I36" s="3"/>
      <c r="J36" s="3"/>
      <c r="K36" s="3"/>
    </row>
    <row r="37">
      <c r="H37" s="3"/>
      <c r="I37" s="3"/>
      <c r="J37" s="3"/>
      <c r="K37" s="3"/>
    </row>
    <row r="38">
      <c r="H38" s="3"/>
      <c r="I38" s="3"/>
      <c r="J38" s="3"/>
      <c r="K38" s="3"/>
    </row>
    <row r="39">
      <c r="H39" s="3"/>
      <c r="I39" s="3"/>
      <c r="J39" s="3"/>
      <c r="K39" s="3"/>
    </row>
    <row r="40">
      <c r="H40" s="3"/>
      <c r="I40" s="3"/>
      <c r="J40" s="3"/>
      <c r="K40" s="3"/>
    </row>
    <row r="41">
      <c r="H41" s="3"/>
      <c r="I41" s="3"/>
      <c r="J41" s="3"/>
      <c r="K41" s="3"/>
    </row>
    <row r="42">
      <c r="H42" s="3"/>
      <c r="I42" s="3"/>
      <c r="J42" s="3"/>
      <c r="K42" s="3"/>
    </row>
    <row r="43">
      <c r="H43" s="3"/>
      <c r="I43" s="3"/>
      <c r="J43" s="3"/>
      <c r="K43" s="3"/>
    </row>
    <row r="44">
      <c r="H44" s="3"/>
      <c r="I44" s="3"/>
      <c r="J44" s="3"/>
      <c r="K44" s="3"/>
    </row>
    <row r="45">
      <c r="B45" s="3"/>
      <c r="C45" s="4"/>
      <c r="D45" s="3"/>
      <c r="E45" s="3"/>
      <c r="F45" s="3"/>
      <c r="G45" s="3"/>
      <c r="H45" s="3"/>
      <c r="I45" s="3"/>
      <c r="J45" s="3"/>
      <c r="K45" s="3"/>
    </row>
    <row r="46">
      <c r="B46" s="3"/>
      <c r="C46" s="4"/>
      <c r="D46" s="3"/>
      <c r="E46" s="3"/>
      <c r="F46" s="3"/>
      <c r="G46" s="3"/>
      <c r="H46" s="3"/>
      <c r="I46" s="3"/>
      <c r="J46" s="3"/>
      <c r="K46" s="3"/>
    </row>
    <row r="47">
      <c r="B47" s="3"/>
      <c r="C47" s="4"/>
      <c r="D47" s="3"/>
      <c r="E47" s="3"/>
      <c r="F47" s="3"/>
      <c r="G47" s="3"/>
      <c r="H47" s="3"/>
      <c r="I47" s="3"/>
      <c r="J47" s="3"/>
      <c r="K47" s="3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25">
    <mergeCell ref="C4:G4"/>
    <mergeCell ref="C5:G5"/>
    <mergeCell ref="C6:G6"/>
    <mergeCell ref="C7:G7"/>
    <mergeCell ref="C8:F8"/>
    <mergeCell ref="B10:H10"/>
    <mergeCell ref="B11:H11"/>
    <mergeCell ref="B14:B15"/>
    <mergeCell ref="C14:C15"/>
    <mergeCell ref="D14:E14"/>
    <mergeCell ref="F14:G14"/>
    <mergeCell ref="H14:H15"/>
    <mergeCell ref="B18:E18"/>
    <mergeCell ref="B19:G19"/>
    <mergeCell ref="E30:G32"/>
    <mergeCell ref="F33:G33"/>
    <mergeCell ref="B34:C34"/>
    <mergeCell ref="F34:G34"/>
    <mergeCell ref="F25:G25"/>
    <mergeCell ref="B27:C27"/>
    <mergeCell ref="F27:G27"/>
    <mergeCell ref="B28:C28"/>
    <mergeCell ref="F28:G28"/>
    <mergeCell ref="J29:K29"/>
    <mergeCell ref="B33:C33"/>
  </mergeCells>
  <hyperlinks>
    <hyperlink r:id="rId1" ref="C8"/>
    <hyperlink r:id="rId2" ref="I16"/>
    <hyperlink r:id="rId3" ref="I1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86.88"/>
    <col customWidth="1" min="6" max="6" width="18.88"/>
    <col customWidth="1" min="7" max="7" width="17.5"/>
    <col customWidth="1" min="9" max="9" width="24.0"/>
  </cols>
  <sheetData>
    <row r="1">
      <c r="C1" s="1"/>
    </row>
    <row r="2">
      <c r="C2" s="1"/>
    </row>
    <row r="3">
      <c r="B3" s="3"/>
      <c r="C3" s="4"/>
      <c r="D3" s="3"/>
      <c r="E3" s="3"/>
      <c r="F3" s="3"/>
      <c r="G3" s="3"/>
      <c r="H3" s="3"/>
      <c r="I3" s="3"/>
      <c r="J3" s="3"/>
      <c r="K3" s="3"/>
    </row>
    <row r="4">
      <c r="B4" s="3"/>
      <c r="C4" s="5" t="s">
        <v>1</v>
      </c>
      <c r="H4" s="3"/>
      <c r="I4" s="3"/>
      <c r="J4" s="3"/>
      <c r="K4" s="3"/>
    </row>
    <row r="5">
      <c r="B5" s="3"/>
      <c r="C5" s="6" t="s">
        <v>2</v>
      </c>
      <c r="H5" s="3"/>
      <c r="I5" s="3"/>
      <c r="J5" s="3"/>
      <c r="K5" s="3"/>
    </row>
    <row r="6">
      <c r="B6" s="3"/>
      <c r="C6" s="6" t="s">
        <v>3</v>
      </c>
      <c r="H6" s="3"/>
      <c r="I6" s="3"/>
      <c r="J6" s="3"/>
      <c r="K6" s="3"/>
    </row>
    <row r="7">
      <c r="B7" s="3"/>
      <c r="C7" s="6" t="s">
        <v>4</v>
      </c>
      <c r="H7" s="3"/>
      <c r="I7" s="3"/>
      <c r="J7" s="3"/>
      <c r="K7" s="3"/>
    </row>
    <row r="8">
      <c r="B8" s="3"/>
      <c r="C8" s="7" t="s">
        <v>5</v>
      </c>
      <c r="G8" s="3"/>
      <c r="H8" s="3"/>
      <c r="I8" s="3"/>
      <c r="J8" s="3"/>
      <c r="K8" s="3"/>
    </row>
    <row r="9">
      <c r="B9" s="3"/>
      <c r="C9" s="4"/>
      <c r="D9" s="3"/>
      <c r="E9" s="3"/>
      <c r="F9" s="3"/>
      <c r="G9" s="3"/>
      <c r="H9" s="3"/>
      <c r="I9" s="3"/>
      <c r="J9" s="3"/>
      <c r="K9" s="3"/>
    </row>
    <row r="10">
      <c r="B10" s="8" t="s">
        <v>9</v>
      </c>
      <c r="I10" s="3"/>
      <c r="J10" s="3"/>
      <c r="K10" s="3"/>
    </row>
    <row r="11">
      <c r="B11" s="9" t="s">
        <v>10</v>
      </c>
      <c r="I11" s="3"/>
      <c r="J11" s="3"/>
      <c r="K11" s="3"/>
    </row>
    <row r="12">
      <c r="B12" s="3"/>
      <c r="C12" s="4"/>
      <c r="D12" s="3"/>
      <c r="E12" s="3"/>
      <c r="F12" s="3"/>
      <c r="G12" s="3"/>
      <c r="H12" s="3"/>
      <c r="I12" s="3"/>
      <c r="J12" s="3"/>
      <c r="K12" s="3"/>
    </row>
    <row r="13">
      <c r="B13" s="3"/>
      <c r="C13" s="4"/>
      <c r="D13" s="3"/>
      <c r="E13" s="3"/>
      <c r="F13" s="3"/>
      <c r="G13" s="3"/>
      <c r="H13" s="3"/>
      <c r="I13" s="3"/>
      <c r="J13" s="3"/>
      <c r="K13" s="3"/>
    </row>
    <row r="14">
      <c r="B14" s="10" t="s">
        <v>11</v>
      </c>
      <c r="C14" s="11" t="s">
        <v>12</v>
      </c>
      <c r="D14" s="12" t="s">
        <v>13</v>
      </c>
      <c r="E14" s="13"/>
      <c r="F14" s="14" t="s">
        <v>14</v>
      </c>
      <c r="G14" s="13"/>
      <c r="H14" s="10" t="s">
        <v>15</v>
      </c>
      <c r="I14" s="3"/>
      <c r="J14" s="3"/>
      <c r="K14" s="3"/>
    </row>
    <row r="15">
      <c r="B15" s="15"/>
      <c r="C15" s="16"/>
      <c r="D15" s="17" t="s">
        <v>16</v>
      </c>
      <c r="E15" s="18" t="s">
        <v>17</v>
      </c>
      <c r="F15" s="18" t="s">
        <v>18</v>
      </c>
      <c r="G15" s="19" t="s">
        <v>16</v>
      </c>
      <c r="H15" s="15"/>
      <c r="I15" s="3"/>
      <c r="J15" s="3"/>
      <c r="K15" s="3"/>
    </row>
    <row r="16">
      <c r="B16" s="20">
        <v>1.0</v>
      </c>
      <c r="C16" s="24" t="s">
        <v>21</v>
      </c>
      <c r="D16" s="32">
        <v>1.0</v>
      </c>
      <c r="E16" s="29" t="s">
        <v>23</v>
      </c>
      <c r="F16" s="30">
        <v>4.1971916E7</v>
      </c>
      <c r="G16" s="40">
        <f t="shared" ref="G16:G20" si="1">F16*D16</f>
        <v>41971916</v>
      </c>
      <c r="H16" s="33"/>
      <c r="I16" s="42" t="s">
        <v>27</v>
      </c>
      <c r="J16" s="3"/>
      <c r="K16" s="3"/>
    </row>
    <row r="17">
      <c r="B17" s="20">
        <v>2.0</v>
      </c>
      <c r="C17" s="38" t="s">
        <v>30</v>
      </c>
      <c r="D17" s="28">
        <v>2.0</v>
      </c>
      <c r="E17" s="49"/>
      <c r="F17" s="31">
        <f>452700*1.2</f>
        <v>543240</v>
      </c>
      <c r="G17" s="40">
        <f t="shared" si="1"/>
        <v>1086480</v>
      </c>
      <c r="H17" s="33"/>
      <c r="I17" s="50" t="s">
        <v>34</v>
      </c>
      <c r="J17" s="44"/>
      <c r="K17" s="3"/>
    </row>
    <row r="18" ht="51.0" customHeight="1">
      <c r="B18" s="20">
        <v>3.0</v>
      </c>
      <c r="C18" s="38" t="s">
        <v>43</v>
      </c>
      <c r="D18" s="28">
        <v>1.0</v>
      </c>
      <c r="E18" s="29" t="s">
        <v>23</v>
      </c>
      <c r="F18" s="40">
        <f>166700*1.2</f>
        <v>200040</v>
      </c>
      <c r="G18" s="40">
        <f t="shared" si="1"/>
        <v>200040</v>
      </c>
      <c r="H18" s="33"/>
      <c r="I18" s="50" t="s">
        <v>45</v>
      </c>
      <c r="J18" s="48"/>
      <c r="K18" s="3"/>
    </row>
    <row r="19">
      <c r="B19" s="20">
        <v>4.0</v>
      </c>
      <c r="C19" s="38" t="s">
        <v>47</v>
      </c>
      <c r="D19" s="28">
        <v>1.0</v>
      </c>
      <c r="E19" s="29" t="s">
        <v>23</v>
      </c>
      <c r="F19" s="40">
        <f>148500*1.2</f>
        <v>178200</v>
      </c>
      <c r="G19" s="40">
        <f t="shared" si="1"/>
        <v>178200</v>
      </c>
      <c r="H19" s="33"/>
      <c r="I19" s="50" t="s">
        <v>52</v>
      </c>
      <c r="J19" s="48"/>
      <c r="K19" s="3"/>
    </row>
    <row r="20">
      <c r="B20" s="20">
        <v>5.0</v>
      </c>
      <c r="C20" s="38" t="s">
        <v>54</v>
      </c>
      <c r="D20" s="28">
        <v>1.0</v>
      </c>
      <c r="E20" s="29" t="s">
        <v>56</v>
      </c>
      <c r="F20" s="31">
        <v>4107000.0</v>
      </c>
      <c r="G20" s="40">
        <f t="shared" si="1"/>
        <v>4107000</v>
      </c>
      <c r="H20" s="33"/>
      <c r="I20" s="42" t="s">
        <v>58</v>
      </c>
      <c r="J20" s="48"/>
      <c r="K20" s="3"/>
    </row>
    <row r="21">
      <c r="B21" s="45"/>
      <c r="C21" s="46"/>
      <c r="D21" s="46"/>
      <c r="E21" s="13"/>
      <c r="F21" s="47" t="s">
        <v>29</v>
      </c>
      <c r="G21" s="51">
        <f>SUM(G16:G20)</f>
        <v>47543636</v>
      </c>
      <c r="H21" s="47"/>
      <c r="I21" s="3"/>
      <c r="J21" s="48"/>
      <c r="K21" s="3"/>
    </row>
    <row r="22">
      <c r="B22" s="77" t="s">
        <v>48</v>
      </c>
      <c r="C22" s="46"/>
      <c r="D22" s="46"/>
      <c r="E22" s="46"/>
      <c r="F22" s="46"/>
      <c r="G22" s="13"/>
      <c r="H22" s="47"/>
      <c r="I22" s="3"/>
      <c r="J22" s="48"/>
      <c r="K22" s="3"/>
    </row>
    <row r="23">
      <c r="B23" s="9"/>
      <c r="C23" s="67"/>
      <c r="D23" s="68"/>
      <c r="E23" s="70"/>
      <c r="F23" s="71"/>
      <c r="G23" s="71"/>
      <c r="H23" s="3"/>
      <c r="I23" s="3"/>
      <c r="J23" s="48"/>
      <c r="K23" s="3"/>
    </row>
    <row r="24">
      <c r="B24" s="9"/>
      <c r="C24" s="67"/>
      <c r="D24" s="68"/>
      <c r="E24" s="70"/>
      <c r="F24" s="73"/>
      <c r="G24" s="71"/>
      <c r="H24" s="3"/>
      <c r="I24" s="3"/>
      <c r="J24" s="44"/>
      <c r="K24" s="3"/>
    </row>
    <row r="25">
      <c r="B25" s="3"/>
      <c r="C25" s="4"/>
      <c r="D25" s="3"/>
      <c r="E25" s="3"/>
      <c r="F25" s="3" t="s">
        <v>46</v>
      </c>
      <c r="H25" s="3"/>
      <c r="I25" s="3"/>
      <c r="J25" s="3"/>
      <c r="K25" s="3"/>
    </row>
    <row r="26">
      <c r="B26" s="3"/>
      <c r="C26" s="4"/>
      <c r="D26" s="3"/>
      <c r="E26" s="3"/>
      <c r="F26" s="3"/>
      <c r="G26" s="3"/>
      <c r="H26" s="3"/>
      <c r="I26" s="3"/>
      <c r="J26" s="44"/>
      <c r="K26" s="3"/>
    </row>
    <row r="27">
      <c r="B27" s="3" t="s">
        <v>49</v>
      </c>
      <c r="D27" s="3"/>
      <c r="E27" s="3"/>
      <c r="F27" s="3" t="s">
        <v>49</v>
      </c>
      <c r="H27" s="3"/>
      <c r="I27" s="3"/>
      <c r="J27" s="44"/>
      <c r="K27" s="3"/>
    </row>
    <row r="28">
      <c r="B28" s="42" t="s">
        <v>51</v>
      </c>
      <c r="D28" s="3"/>
      <c r="E28" s="3"/>
      <c r="F28" s="3" t="s">
        <v>53</v>
      </c>
      <c r="H28" s="3"/>
      <c r="I28" s="3"/>
      <c r="J28" s="44"/>
      <c r="K28" s="3"/>
    </row>
    <row r="29">
      <c r="B29" s="3"/>
      <c r="C29" s="4"/>
      <c r="D29" s="3"/>
      <c r="E29" s="3"/>
      <c r="F29" s="3"/>
      <c r="G29" s="3"/>
      <c r="H29" s="3"/>
      <c r="I29" s="3"/>
      <c r="J29" s="3"/>
    </row>
    <row r="30">
      <c r="B30" s="78"/>
      <c r="C30" s="4"/>
      <c r="D30" s="3"/>
      <c r="E30" s="3"/>
      <c r="H30" s="3"/>
      <c r="I30" s="3"/>
      <c r="J30" s="79"/>
      <c r="K30" s="3"/>
    </row>
    <row r="31">
      <c r="B31" s="3"/>
      <c r="C31" s="4"/>
      <c r="D31" s="3"/>
      <c r="I31" s="3"/>
      <c r="J31" s="3"/>
      <c r="K31" s="3"/>
    </row>
    <row r="32">
      <c r="B32" s="3"/>
      <c r="C32" s="4"/>
      <c r="D32" s="3"/>
      <c r="I32" s="3"/>
      <c r="J32" s="3"/>
      <c r="K32" s="3"/>
    </row>
    <row r="33">
      <c r="B33" s="80" t="s">
        <v>63</v>
      </c>
      <c r="D33" s="3"/>
      <c r="E33" s="3"/>
      <c r="F33" s="81" t="s">
        <v>57</v>
      </c>
      <c r="H33" s="3"/>
      <c r="I33" s="3"/>
      <c r="J33" s="3"/>
      <c r="K33" s="3"/>
    </row>
    <row r="34">
      <c r="B34" s="42" t="s">
        <v>59</v>
      </c>
      <c r="D34" s="3"/>
      <c r="E34" s="3"/>
      <c r="F34" s="3" t="s">
        <v>60</v>
      </c>
      <c r="H34" s="3"/>
      <c r="I34" s="3"/>
      <c r="J34" s="3"/>
      <c r="K34" s="3"/>
    </row>
    <row r="35">
      <c r="H35" s="3"/>
      <c r="I35" s="3"/>
      <c r="J35" s="3"/>
      <c r="K35" s="3"/>
    </row>
    <row r="36">
      <c r="H36" s="3"/>
      <c r="I36" s="3"/>
      <c r="J36" s="3"/>
      <c r="K36" s="3"/>
    </row>
    <row r="37">
      <c r="H37" s="3"/>
      <c r="I37" s="3"/>
      <c r="J37" s="3"/>
      <c r="K37" s="3"/>
    </row>
    <row r="38">
      <c r="H38" s="3"/>
      <c r="I38" s="3"/>
      <c r="J38" s="3"/>
      <c r="K38" s="3"/>
    </row>
    <row r="39">
      <c r="H39" s="3"/>
      <c r="I39" s="3"/>
      <c r="J39" s="3"/>
      <c r="K39" s="3"/>
    </row>
    <row r="40">
      <c r="H40" s="3"/>
      <c r="I40" s="3"/>
      <c r="J40" s="3"/>
      <c r="K40" s="3"/>
    </row>
    <row r="41">
      <c r="H41" s="3"/>
      <c r="I41" s="3"/>
      <c r="J41" s="3"/>
      <c r="K41" s="3"/>
    </row>
    <row r="42">
      <c r="H42" s="3"/>
      <c r="I42" s="3"/>
      <c r="J42" s="3"/>
      <c r="K42" s="3"/>
    </row>
    <row r="43">
      <c r="H43" s="3"/>
      <c r="I43" s="3"/>
      <c r="J43" s="3"/>
      <c r="K43" s="3"/>
    </row>
    <row r="44">
      <c r="H44" s="3"/>
      <c r="I44" s="3"/>
      <c r="J44" s="3"/>
      <c r="K44" s="3"/>
    </row>
    <row r="45">
      <c r="B45" s="3"/>
      <c r="C45" s="4"/>
      <c r="D45" s="3"/>
      <c r="E45" s="3"/>
      <c r="F45" s="3"/>
      <c r="G45" s="3"/>
      <c r="H45" s="3"/>
      <c r="I45" s="3"/>
      <c r="J45" s="3"/>
      <c r="K45" s="3"/>
    </row>
    <row r="46">
      <c r="B46" s="3"/>
      <c r="C46" s="4"/>
      <c r="D46" s="3"/>
      <c r="E46" s="3"/>
      <c r="F46" s="3"/>
      <c r="G46" s="3"/>
      <c r="H46" s="3"/>
      <c r="I46" s="3"/>
      <c r="J46" s="3"/>
      <c r="K46" s="3"/>
    </row>
    <row r="47">
      <c r="B47" s="3"/>
      <c r="C47" s="4"/>
      <c r="D47" s="3"/>
      <c r="E47" s="3"/>
      <c r="F47" s="3"/>
      <c r="G47" s="3"/>
      <c r="H47" s="3"/>
      <c r="I47" s="3"/>
      <c r="J47" s="3"/>
      <c r="K47" s="3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25">
    <mergeCell ref="C4:G4"/>
    <mergeCell ref="C5:G5"/>
    <mergeCell ref="C6:G6"/>
    <mergeCell ref="C7:G7"/>
    <mergeCell ref="C8:F8"/>
    <mergeCell ref="B10:H10"/>
    <mergeCell ref="B11:H11"/>
    <mergeCell ref="B14:B15"/>
    <mergeCell ref="C14:C15"/>
    <mergeCell ref="D14:E14"/>
    <mergeCell ref="F14:G14"/>
    <mergeCell ref="H14:H15"/>
    <mergeCell ref="B21:E21"/>
    <mergeCell ref="B22:G22"/>
    <mergeCell ref="E30:G32"/>
    <mergeCell ref="F33:G33"/>
    <mergeCell ref="B34:C34"/>
    <mergeCell ref="F34:G34"/>
    <mergeCell ref="F25:G25"/>
    <mergeCell ref="B27:C27"/>
    <mergeCell ref="F27:G27"/>
    <mergeCell ref="B28:C28"/>
    <mergeCell ref="F28:G28"/>
    <mergeCell ref="J29:K29"/>
    <mergeCell ref="B33:C33"/>
  </mergeCells>
  <hyperlinks>
    <hyperlink r:id="rId1" ref="C8"/>
    <hyperlink r:id="rId2" ref="I17"/>
    <hyperlink r:id="rId3" ref="I18"/>
    <hyperlink r:id="rId4" ref="I1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86.88"/>
    <col customWidth="1" min="6" max="6" width="18.88"/>
    <col customWidth="1" min="7" max="7" width="17.5"/>
    <col customWidth="1" min="9" max="9" width="24.0"/>
  </cols>
  <sheetData>
    <row r="1">
      <c r="C1" s="1"/>
    </row>
    <row r="2">
      <c r="C2" s="1"/>
    </row>
    <row r="3">
      <c r="B3" s="3"/>
      <c r="C3" s="4"/>
      <c r="D3" s="3"/>
      <c r="E3" s="3"/>
      <c r="F3" s="3"/>
      <c r="G3" s="3"/>
      <c r="H3" s="3"/>
      <c r="I3" s="3"/>
      <c r="J3" s="3"/>
      <c r="K3" s="3"/>
    </row>
    <row r="4">
      <c r="B4" s="3"/>
      <c r="C4" s="5" t="s">
        <v>1</v>
      </c>
      <c r="H4" s="3"/>
      <c r="I4" s="3"/>
      <c r="J4" s="3"/>
      <c r="K4" s="3"/>
    </row>
    <row r="5">
      <c r="B5" s="3"/>
      <c r="C5" s="6" t="s">
        <v>2</v>
      </c>
      <c r="H5" s="3"/>
      <c r="I5" s="3"/>
      <c r="J5" s="3"/>
      <c r="K5" s="3"/>
    </row>
    <row r="6">
      <c r="B6" s="3"/>
      <c r="C6" s="6" t="s">
        <v>3</v>
      </c>
      <c r="H6" s="3"/>
      <c r="I6" s="3"/>
      <c r="J6" s="3"/>
      <c r="K6" s="3"/>
    </row>
    <row r="7">
      <c r="B7" s="3"/>
      <c r="C7" s="6" t="s">
        <v>4</v>
      </c>
      <c r="H7" s="3"/>
      <c r="I7" s="3"/>
      <c r="J7" s="3"/>
      <c r="K7" s="3"/>
    </row>
    <row r="8">
      <c r="B8" s="3"/>
      <c r="C8" s="7" t="s">
        <v>6</v>
      </c>
      <c r="G8" s="3"/>
      <c r="H8" s="3"/>
      <c r="I8" s="3"/>
      <c r="J8" s="3"/>
      <c r="K8" s="3"/>
    </row>
    <row r="9">
      <c r="B9" s="3"/>
      <c r="C9" s="4"/>
      <c r="D9" s="3"/>
      <c r="E9" s="3"/>
      <c r="F9" s="3"/>
      <c r="G9" s="3"/>
      <c r="H9" s="3"/>
      <c r="I9" s="3"/>
      <c r="J9" s="3"/>
      <c r="K9" s="3"/>
    </row>
    <row r="10">
      <c r="B10" s="8" t="s">
        <v>9</v>
      </c>
      <c r="I10" s="3"/>
      <c r="J10" s="3"/>
      <c r="K10" s="3"/>
    </row>
    <row r="11">
      <c r="B11" s="9" t="s">
        <v>10</v>
      </c>
      <c r="I11" s="3"/>
      <c r="J11" s="3"/>
      <c r="K11" s="3"/>
    </row>
    <row r="12">
      <c r="B12" s="3"/>
      <c r="C12" s="4"/>
      <c r="D12" s="3"/>
      <c r="E12" s="3"/>
      <c r="F12" s="3"/>
      <c r="G12" s="3"/>
      <c r="H12" s="3"/>
      <c r="I12" s="3"/>
      <c r="J12" s="3"/>
      <c r="K12" s="3"/>
    </row>
    <row r="13">
      <c r="B13" s="3"/>
      <c r="C13" s="4"/>
      <c r="D13" s="3"/>
      <c r="E13" s="3"/>
      <c r="F13" s="3"/>
      <c r="G13" s="3"/>
      <c r="H13" s="3"/>
      <c r="I13" s="3"/>
      <c r="J13" s="3"/>
      <c r="K13" s="3"/>
    </row>
    <row r="14">
      <c r="B14" s="10" t="s">
        <v>11</v>
      </c>
      <c r="C14" s="11" t="s">
        <v>12</v>
      </c>
      <c r="D14" s="12" t="s">
        <v>13</v>
      </c>
      <c r="E14" s="13"/>
      <c r="F14" s="14" t="s">
        <v>14</v>
      </c>
      <c r="G14" s="13"/>
      <c r="H14" s="10" t="s">
        <v>15</v>
      </c>
      <c r="I14" s="3"/>
      <c r="J14" s="3"/>
      <c r="K14" s="3"/>
    </row>
    <row r="15">
      <c r="B15" s="15"/>
      <c r="C15" s="16"/>
      <c r="D15" s="17" t="s">
        <v>16</v>
      </c>
      <c r="E15" s="18" t="s">
        <v>17</v>
      </c>
      <c r="F15" s="18" t="s">
        <v>18</v>
      </c>
      <c r="G15" s="19" t="s">
        <v>16</v>
      </c>
      <c r="H15" s="15"/>
      <c r="I15" s="3"/>
      <c r="J15" s="3"/>
      <c r="K15" s="3"/>
    </row>
    <row r="16">
      <c r="B16" s="21">
        <v>1.0</v>
      </c>
      <c r="C16" s="23" t="s">
        <v>22</v>
      </c>
      <c r="D16" s="25">
        <v>1.0</v>
      </c>
      <c r="E16" s="26" t="s">
        <v>23</v>
      </c>
      <c r="F16" s="27">
        <v>2553000.0</v>
      </c>
      <c r="G16" s="35">
        <f t="shared" ref="G16:G18" si="1">F16*D16</f>
        <v>2553000</v>
      </c>
      <c r="H16" s="36"/>
      <c r="I16" s="37" t="s">
        <v>24</v>
      </c>
      <c r="J16" s="3"/>
      <c r="K16" s="3"/>
    </row>
    <row r="17">
      <c r="B17" s="21">
        <v>2.0</v>
      </c>
      <c r="C17" s="39" t="s">
        <v>25</v>
      </c>
      <c r="D17" s="41">
        <v>1.0</v>
      </c>
      <c r="E17" s="26" t="s">
        <v>23</v>
      </c>
      <c r="F17" s="43">
        <v>2170050.0</v>
      </c>
      <c r="G17" s="35">
        <f t="shared" si="1"/>
        <v>2170050</v>
      </c>
      <c r="H17" s="36"/>
      <c r="I17" s="37" t="s">
        <v>24</v>
      </c>
      <c r="J17" s="44"/>
      <c r="K17" s="3"/>
    </row>
    <row r="18">
      <c r="B18" s="21">
        <v>3.0</v>
      </c>
      <c r="C18" s="39" t="s">
        <v>28</v>
      </c>
      <c r="D18" s="41">
        <v>1.0</v>
      </c>
      <c r="E18" s="26" t="s">
        <v>23</v>
      </c>
      <c r="F18" s="43">
        <v>306360.0</v>
      </c>
      <c r="G18" s="35">
        <f t="shared" si="1"/>
        <v>306360</v>
      </c>
      <c r="H18" s="36"/>
      <c r="I18" s="37" t="s">
        <v>24</v>
      </c>
      <c r="J18" s="48"/>
      <c r="K18" s="3"/>
    </row>
    <row r="19">
      <c r="B19" s="21">
        <v>4.0</v>
      </c>
      <c r="C19" s="39" t="s">
        <v>31</v>
      </c>
      <c r="D19" s="41">
        <v>2.0</v>
      </c>
      <c r="E19" s="26" t="s">
        <v>23</v>
      </c>
      <c r="F19" s="43">
        <v>1787100.0</v>
      </c>
      <c r="G19" s="43">
        <v>1787100.0</v>
      </c>
      <c r="H19" s="36"/>
      <c r="I19" s="37" t="s">
        <v>24</v>
      </c>
      <c r="J19" s="48"/>
      <c r="K19" s="3"/>
    </row>
    <row r="20">
      <c r="B20" s="21">
        <v>5.0</v>
      </c>
      <c r="C20" s="39" t="s">
        <v>32</v>
      </c>
      <c r="D20" s="41">
        <v>1.0</v>
      </c>
      <c r="E20" s="26" t="s">
        <v>23</v>
      </c>
      <c r="F20" s="43">
        <v>4700000.0</v>
      </c>
      <c r="G20" s="35">
        <f>F20*D20</f>
        <v>4700000</v>
      </c>
      <c r="H20" s="36"/>
      <c r="I20" s="37" t="s">
        <v>24</v>
      </c>
      <c r="J20" s="48"/>
      <c r="K20" s="3"/>
    </row>
    <row r="21">
      <c r="B21" s="21">
        <v>6.0</v>
      </c>
      <c r="C21" s="39" t="s">
        <v>33</v>
      </c>
      <c r="D21" s="41">
        <v>5.0</v>
      </c>
      <c r="E21" s="26" t="s">
        <v>23</v>
      </c>
      <c r="F21" s="43">
        <v>5900000.0</v>
      </c>
      <c r="G21" s="43">
        <v>5900000.0</v>
      </c>
      <c r="H21" s="36"/>
      <c r="I21" s="37" t="s">
        <v>24</v>
      </c>
      <c r="J21" s="48"/>
      <c r="K21" s="3"/>
    </row>
    <row r="22">
      <c r="B22" s="21">
        <v>7.0</v>
      </c>
      <c r="C22" s="39" t="s">
        <v>36</v>
      </c>
      <c r="D22" s="41">
        <v>35.0</v>
      </c>
      <c r="E22" s="26" t="s">
        <v>38</v>
      </c>
      <c r="F22" s="43">
        <v>3885000.0</v>
      </c>
      <c r="G22" s="43">
        <v>3885000.0</v>
      </c>
      <c r="H22" s="36"/>
      <c r="I22" s="37" t="s">
        <v>24</v>
      </c>
      <c r="J22" s="48"/>
      <c r="K22" s="3"/>
    </row>
    <row r="23">
      <c r="B23" s="21">
        <v>8.0</v>
      </c>
      <c r="C23" s="39" t="s">
        <v>40</v>
      </c>
      <c r="D23" s="41">
        <v>2.0</v>
      </c>
      <c r="E23" s="26" t="s">
        <v>38</v>
      </c>
      <c r="F23" s="43">
        <v>555000.0</v>
      </c>
      <c r="G23" s="43">
        <v>555000.0</v>
      </c>
      <c r="H23" s="36"/>
      <c r="I23" s="37" t="s">
        <v>24</v>
      </c>
      <c r="J23" s="48"/>
      <c r="K23" s="3"/>
    </row>
    <row r="24">
      <c r="B24" s="21">
        <v>9.0</v>
      </c>
      <c r="C24" s="39" t="s">
        <v>41</v>
      </c>
      <c r="D24" s="41">
        <v>10.0</v>
      </c>
      <c r="E24" s="26" t="s">
        <v>23</v>
      </c>
      <c r="F24" s="43">
        <v>2000000.0</v>
      </c>
      <c r="G24" s="43">
        <v>2000000.0</v>
      </c>
      <c r="H24" s="36"/>
      <c r="I24" s="37" t="s">
        <v>24</v>
      </c>
      <c r="J24" s="48"/>
      <c r="K24" s="3"/>
    </row>
    <row r="25">
      <c r="B25" s="56">
        <v>10.0</v>
      </c>
      <c r="C25" s="58" t="s">
        <v>42</v>
      </c>
      <c r="D25" s="60">
        <v>1.0</v>
      </c>
      <c r="E25" s="64" t="s">
        <v>38</v>
      </c>
      <c r="F25" s="43">
        <v>2500000.0</v>
      </c>
      <c r="G25" s="43">
        <v>2500000.0</v>
      </c>
      <c r="H25" s="36"/>
      <c r="I25" s="37" t="s">
        <v>24</v>
      </c>
      <c r="J25" s="48"/>
      <c r="K25" s="3"/>
    </row>
    <row r="26">
      <c r="B26" s="56">
        <v>11.0</v>
      </c>
      <c r="C26" s="58" t="s">
        <v>44</v>
      </c>
      <c r="D26" s="60">
        <v>1.0</v>
      </c>
      <c r="E26" s="64" t="s">
        <v>23</v>
      </c>
      <c r="F26" s="43">
        <v>222000.0</v>
      </c>
      <c r="G26" s="43">
        <v>222000.0</v>
      </c>
      <c r="H26" s="36"/>
      <c r="I26" s="37" t="s">
        <v>24</v>
      </c>
      <c r="J26" s="48"/>
      <c r="K26" s="3"/>
    </row>
    <row r="27">
      <c r="B27" s="20"/>
      <c r="C27" s="69"/>
      <c r="D27" s="69"/>
      <c r="E27" s="72"/>
      <c r="F27" s="21" t="s">
        <v>29</v>
      </c>
      <c r="G27" s="74">
        <f>SUM(G16:G26)</f>
        <v>26578510</v>
      </c>
      <c r="H27" s="75"/>
      <c r="I27" s="76"/>
      <c r="J27" s="48"/>
      <c r="K27" s="3"/>
    </row>
    <row r="28">
      <c r="B28" s="77" t="s">
        <v>50</v>
      </c>
      <c r="C28" s="46"/>
      <c r="D28" s="46"/>
      <c r="E28" s="46"/>
      <c r="F28" s="46"/>
      <c r="G28" s="13"/>
      <c r="H28" s="47"/>
      <c r="I28" s="3"/>
      <c r="J28" s="48"/>
      <c r="K28" s="3"/>
    </row>
    <row r="29">
      <c r="B29" s="9"/>
      <c r="C29" s="67"/>
      <c r="D29" s="68"/>
      <c r="E29" s="70"/>
      <c r="F29" s="71"/>
      <c r="G29" s="71"/>
      <c r="H29" s="3"/>
      <c r="I29" s="3"/>
      <c r="J29" s="48"/>
      <c r="K29" s="3"/>
    </row>
    <row r="30">
      <c r="B30" s="9"/>
      <c r="C30" s="67"/>
      <c r="D30" s="68"/>
      <c r="E30" s="70"/>
      <c r="F30" s="73"/>
      <c r="G30" s="71"/>
      <c r="H30" s="3"/>
      <c r="I30" s="3"/>
      <c r="J30" s="44"/>
      <c r="K30" s="3"/>
    </row>
    <row r="31">
      <c r="B31" s="3"/>
      <c r="C31" s="4"/>
      <c r="D31" s="3"/>
      <c r="E31" s="3"/>
      <c r="F31" s="3" t="s">
        <v>46</v>
      </c>
      <c r="H31" s="3"/>
      <c r="I31" s="3"/>
      <c r="J31" s="3"/>
      <c r="K31" s="3"/>
    </row>
    <row r="32">
      <c r="B32" s="3"/>
      <c r="C32" s="4"/>
      <c r="D32" s="3"/>
      <c r="E32" s="3"/>
      <c r="F32" s="3"/>
      <c r="G32" s="3"/>
      <c r="H32" s="3"/>
      <c r="I32" s="3"/>
      <c r="J32" s="44"/>
      <c r="K32" s="3"/>
    </row>
    <row r="33">
      <c r="B33" s="3" t="s">
        <v>49</v>
      </c>
      <c r="D33" s="3"/>
      <c r="E33" s="3"/>
      <c r="F33" s="3" t="s">
        <v>49</v>
      </c>
      <c r="H33" s="3"/>
      <c r="I33" s="3"/>
      <c r="J33" s="44"/>
      <c r="K33" s="3"/>
    </row>
    <row r="34">
      <c r="B34" s="3" t="s">
        <v>61</v>
      </c>
      <c r="D34" s="3"/>
      <c r="E34" s="3"/>
      <c r="F34" s="3" t="s">
        <v>53</v>
      </c>
      <c r="H34" s="3"/>
      <c r="I34" s="3"/>
      <c r="J34" s="44"/>
      <c r="K34" s="3"/>
    </row>
    <row r="35">
      <c r="B35" s="3"/>
      <c r="C35" s="4"/>
      <c r="D35" s="3"/>
      <c r="E35" s="3"/>
      <c r="F35" s="3"/>
      <c r="G35" s="3"/>
      <c r="H35" s="3"/>
      <c r="I35" s="3"/>
      <c r="J35" s="3"/>
    </row>
    <row r="36">
      <c r="B36" s="78"/>
      <c r="C36" s="4"/>
      <c r="D36" s="3"/>
      <c r="E36" s="3"/>
      <c r="H36" s="3"/>
      <c r="I36" s="3"/>
      <c r="J36" s="79"/>
      <c r="K36" s="3"/>
    </row>
    <row r="37">
      <c r="B37" s="3"/>
      <c r="C37" s="4"/>
      <c r="D37" s="3"/>
      <c r="I37" s="3"/>
      <c r="J37" s="3"/>
      <c r="K37" s="3"/>
    </row>
    <row r="38">
      <c r="B38" s="3"/>
      <c r="C38" s="4"/>
      <c r="D38" s="3"/>
      <c r="I38" s="3"/>
      <c r="J38" s="3"/>
      <c r="K38" s="3"/>
    </row>
    <row r="39">
      <c r="B39" s="81"/>
      <c r="D39" s="3"/>
      <c r="E39" s="3"/>
      <c r="F39" s="81" t="s">
        <v>57</v>
      </c>
      <c r="H39" s="3"/>
      <c r="I39" s="3"/>
      <c r="J39" s="3"/>
      <c r="K39" s="3"/>
    </row>
    <row r="40">
      <c r="B40" s="42" t="s">
        <v>62</v>
      </c>
      <c r="D40" s="3"/>
      <c r="E40" s="3"/>
      <c r="F40" s="3" t="s">
        <v>60</v>
      </c>
      <c r="H40" s="3"/>
      <c r="I40" s="3"/>
      <c r="J40" s="3"/>
      <c r="K40" s="3"/>
    </row>
    <row r="41">
      <c r="H41" s="3"/>
      <c r="I41" s="3"/>
      <c r="J41" s="3"/>
      <c r="K41" s="3"/>
    </row>
    <row r="42">
      <c r="H42" s="3"/>
      <c r="I42" s="3"/>
      <c r="J42" s="3"/>
      <c r="K42" s="3"/>
    </row>
    <row r="43">
      <c r="H43" s="3"/>
      <c r="I43" s="3"/>
      <c r="J43" s="3"/>
      <c r="K43" s="3"/>
    </row>
    <row r="44">
      <c r="H44" s="3"/>
      <c r="I44" s="3"/>
      <c r="J44" s="3"/>
      <c r="K44" s="3"/>
    </row>
    <row r="45">
      <c r="H45" s="3"/>
      <c r="I45" s="3"/>
      <c r="J45" s="3"/>
      <c r="K45" s="3"/>
    </row>
    <row r="46">
      <c r="H46" s="3"/>
      <c r="I46" s="3"/>
      <c r="J46" s="3"/>
      <c r="K46" s="3"/>
    </row>
    <row r="47">
      <c r="H47" s="3"/>
      <c r="I47" s="3"/>
      <c r="J47" s="3"/>
      <c r="K47" s="3"/>
    </row>
    <row r="48">
      <c r="H48" s="3"/>
      <c r="I48" s="3"/>
      <c r="J48" s="3"/>
      <c r="K48" s="3"/>
    </row>
    <row r="49">
      <c r="H49" s="3"/>
      <c r="I49" s="3"/>
      <c r="J49" s="3"/>
      <c r="K49" s="3"/>
    </row>
    <row r="50">
      <c r="H50" s="3"/>
      <c r="I50" s="3"/>
      <c r="J50" s="3"/>
      <c r="K50" s="3"/>
    </row>
    <row r="51">
      <c r="B51" s="3"/>
      <c r="C51" s="4"/>
      <c r="D51" s="3"/>
      <c r="E51" s="3"/>
      <c r="F51" s="3"/>
      <c r="G51" s="3"/>
      <c r="H51" s="3"/>
      <c r="I51" s="3"/>
      <c r="J51" s="3"/>
      <c r="K51" s="3"/>
    </row>
    <row r="52">
      <c r="B52" s="3"/>
      <c r="C52" s="4"/>
      <c r="D52" s="3"/>
      <c r="E52" s="3"/>
      <c r="F52" s="3"/>
      <c r="G52" s="3"/>
      <c r="H52" s="3"/>
      <c r="I52" s="3"/>
      <c r="J52" s="3"/>
      <c r="K52" s="3"/>
    </row>
    <row r="53">
      <c r="B53" s="3"/>
      <c r="C53" s="4"/>
      <c r="D53" s="3"/>
      <c r="E53" s="3"/>
      <c r="F53" s="3"/>
      <c r="G53" s="3"/>
      <c r="H53" s="3"/>
      <c r="I53" s="3"/>
      <c r="J53" s="3"/>
      <c r="K53" s="3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  <row r="1001">
      <c r="C1001" s="1"/>
    </row>
    <row r="1002">
      <c r="C1002" s="1"/>
    </row>
    <row r="1003">
      <c r="C1003" s="1"/>
    </row>
    <row r="1004">
      <c r="C1004" s="1"/>
    </row>
    <row r="1005">
      <c r="C1005" s="1"/>
    </row>
    <row r="1006">
      <c r="C1006" s="1"/>
    </row>
  </sheetData>
  <mergeCells count="24">
    <mergeCell ref="C4:G4"/>
    <mergeCell ref="C5:G5"/>
    <mergeCell ref="C6:G6"/>
    <mergeCell ref="C7:G7"/>
    <mergeCell ref="C8:F8"/>
    <mergeCell ref="B10:H10"/>
    <mergeCell ref="B11:H11"/>
    <mergeCell ref="B14:B15"/>
    <mergeCell ref="C14:C15"/>
    <mergeCell ref="D14:E14"/>
    <mergeCell ref="F14:G14"/>
    <mergeCell ref="H14:H15"/>
    <mergeCell ref="B28:G28"/>
    <mergeCell ref="F31:G31"/>
    <mergeCell ref="B39:C39"/>
    <mergeCell ref="B40:C40"/>
    <mergeCell ref="F40:G40"/>
    <mergeCell ref="B33:C33"/>
    <mergeCell ref="F33:G33"/>
    <mergeCell ref="B34:C34"/>
    <mergeCell ref="F34:G34"/>
    <mergeCell ref="J35:K35"/>
    <mergeCell ref="E36:G38"/>
    <mergeCell ref="F39:G39"/>
  </mergeCells>
  <hyperlinks>
    <hyperlink r:id="rId1" ref="C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86.88"/>
    <col customWidth="1" min="6" max="6" width="18.88"/>
    <col customWidth="1" min="7" max="7" width="17.5"/>
    <col customWidth="1" min="9" max="9" width="24.0"/>
  </cols>
  <sheetData>
    <row r="1">
      <c r="A1" s="2" t="s">
        <v>0</v>
      </c>
      <c r="C1" s="1"/>
    </row>
    <row r="2">
      <c r="C2" s="1"/>
    </row>
    <row r="3">
      <c r="B3" s="3"/>
      <c r="C3" s="4"/>
      <c r="D3" s="3"/>
      <c r="E3" s="3"/>
      <c r="F3" s="3"/>
      <c r="G3" s="3"/>
      <c r="H3" s="3"/>
      <c r="I3" s="3"/>
      <c r="J3" s="3"/>
      <c r="K3" s="3"/>
    </row>
    <row r="4">
      <c r="B4" s="3"/>
      <c r="C4" s="5" t="s">
        <v>1</v>
      </c>
      <c r="H4" s="3"/>
      <c r="I4" s="3"/>
      <c r="J4" s="3"/>
      <c r="K4" s="3"/>
    </row>
    <row r="5">
      <c r="B5" s="3"/>
      <c r="C5" s="6" t="s">
        <v>2</v>
      </c>
      <c r="H5" s="3"/>
      <c r="I5" s="3"/>
      <c r="J5" s="3"/>
      <c r="K5" s="3"/>
    </row>
    <row r="6">
      <c r="B6" s="3"/>
      <c r="C6" s="6" t="s">
        <v>3</v>
      </c>
      <c r="H6" s="3"/>
      <c r="I6" s="3"/>
      <c r="J6" s="3"/>
      <c r="K6" s="3"/>
    </row>
    <row r="7">
      <c r="B7" s="3"/>
      <c r="C7" s="6" t="s">
        <v>4</v>
      </c>
      <c r="H7" s="3"/>
      <c r="I7" s="3"/>
      <c r="J7" s="3"/>
      <c r="K7" s="3"/>
    </row>
    <row r="8">
      <c r="B8" s="3"/>
      <c r="C8" s="7" t="s">
        <v>8</v>
      </c>
      <c r="G8" s="3"/>
      <c r="H8" s="3"/>
      <c r="I8" s="3"/>
      <c r="J8" s="3"/>
      <c r="K8" s="3"/>
    </row>
    <row r="9">
      <c r="B9" s="3"/>
      <c r="C9" s="4"/>
      <c r="D9" s="3"/>
      <c r="E9" s="3"/>
      <c r="F9" s="3"/>
      <c r="G9" s="3"/>
      <c r="H9" s="3"/>
      <c r="I9" s="3"/>
      <c r="J9" s="3"/>
      <c r="K9" s="3"/>
    </row>
    <row r="10">
      <c r="B10" s="8" t="s">
        <v>9</v>
      </c>
      <c r="I10" s="3"/>
      <c r="J10" s="3"/>
      <c r="K10" s="3"/>
    </row>
    <row r="11">
      <c r="B11" s="9" t="s">
        <v>10</v>
      </c>
      <c r="I11" s="3"/>
      <c r="J11" s="3"/>
      <c r="K11" s="3"/>
    </row>
    <row r="12">
      <c r="B12" s="3"/>
      <c r="C12" s="4"/>
      <c r="D12" s="3"/>
      <c r="E12" s="3"/>
      <c r="F12" s="3"/>
      <c r="G12" s="3"/>
      <c r="H12" s="3"/>
      <c r="I12" s="3"/>
      <c r="J12" s="3"/>
      <c r="K12" s="3"/>
    </row>
    <row r="13">
      <c r="B13" s="3"/>
      <c r="C13" s="4"/>
      <c r="D13" s="3"/>
      <c r="E13" s="3"/>
      <c r="F13" s="3"/>
      <c r="G13" s="3"/>
      <c r="H13" s="3"/>
      <c r="I13" s="3"/>
      <c r="J13" s="3"/>
      <c r="K13" s="3"/>
    </row>
    <row r="14">
      <c r="B14" s="10" t="s">
        <v>11</v>
      </c>
      <c r="C14" s="11" t="s">
        <v>12</v>
      </c>
      <c r="D14" s="12" t="s">
        <v>13</v>
      </c>
      <c r="E14" s="13"/>
      <c r="F14" s="14" t="s">
        <v>14</v>
      </c>
      <c r="G14" s="13"/>
      <c r="H14" s="10" t="s">
        <v>15</v>
      </c>
      <c r="I14" s="3"/>
      <c r="J14" s="3"/>
      <c r="K14" s="3"/>
    </row>
    <row r="15">
      <c r="B15" s="15"/>
      <c r="C15" s="16"/>
      <c r="D15" s="17" t="s">
        <v>16</v>
      </c>
      <c r="E15" s="18" t="s">
        <v>17</v>
      </c>
      <c r="F15" s="18" t="s">
        <v>18</v>
      </c>
      <c r="G15" s="19" t="s">
        <v>16</v>
      </c>
      <c r="H15" s="15"/>
      <c r="I15" s="3"/>
      <c r="J15" s="3"/>
      <c r="K15" s="3"/>
    </row>
    <row r="16">
      <c r="B16" s="20">
        <v>1.0</v>
      </c>
      <c r="C16" s="22" t="s">
        <v>20</v>
      </c>
      <c r="D16" s="28">
        <v>1.0</v>
      </c>
      <c r="E16" s="29" t="s">
        <v>23</v>
      </c>
      <c r="F16" s="30">
        <v>1.82375E7</v>
      </c>
      <c r="G16" s="31">
        <v>1.82375E7</v>
      </c>
      <c r="H16" s="33"/>
      <c r="I16" s="34" t="s">
        <v>24</v>
      </c>
      <c r="J16" s="3"/>
      <c r="K16" s="3"/>
    </row>
    <row r="17">
      <c r="B17" s="20"/>
      <c r="C17" s="38"/>
      <c r="D17" s="28"/>
      <c r="E17" s="29"/>
      <c r="F17" s="31"/>
      <c r="G17" s="40"/>
      <c r="H17" s="33"/>
      <c r="I17" s="42"/>
      <c r="J17" s="44"/>
      <c r="K17" s="3"/>
    </row>
    <row r="18">
      <c r="B18" s="45"/>
      <c r="C18" s="46"/>
      <c r="D18" s="46"/>
      <c r="E18" s="13"/>
      <c r="F18" s="47" t="s">
        <v>29</v>
      </c>
      <c r="G18" s="51">
        <f>SUM(G16:G17)</f>
        <v>18237500</v>
      </c>
      <c r="H18" s="47"/>
      <c r="I18" s="42"/>
      <c r="J18" s="48"/>
      <c r="K18" s="3"/>
    </row>
    <row r="19">
      <c r="B19" s="52" t="s">
        <v>37</v>
      </c>
      <c r="C19" s="53"/>
      <c r="D19" s="53"/>
      <c r="E19" s="53"/>
      <c r="F19" s="53"/>
      <c r="G19" s="54"/>
      <c r="H19" s="55"/>
      <c r="I19" s="42"/>
      <c r="J19" s="48"/>
      <c r="K19" s="3"/>
    </row>
    <row r="20">
      <c r="B20" s="57"/>
      <c r="C20" s="59"/>
      <c r="D20" s="61"/>
      <c r="E20" s="62"/>
      <c r="F20" s="63"/>
      <c r="G20" s="65"/>
      <c r="H20" s="66"/>
      <c r="I20" s="42"/>
      <c r="J20" s="48"/>
      <c r="K20" s="3"/>
    </row>
    <row r="21">
      <c r="I21" s="3"/>
      <c r="J21" s="48"/>
      <c r="K21" s="3"/>
    </row>
    <row r="22">
      <c r="I22" s="3"/>
      <c r="J22" s="48"/>
      <c r="K22" s="3"/>
    </row>
    <row r="23">
      <c r="B23" s="9"/>
      <c r="C23" s="67"/>
      <c r="D23" s="68"/>
      <c r="E23" s="70"/>
      <c r="F23" s="71"/>
      <c r="G23" s="71"/>
      <c r="H23" s="3"/>
      <c r="I23" s="3"/>
      <c r="J23" s="48"/>
      <c r="K23" s="3"/>
    </row>
    <row r="24">
      <c r="B24" s="9"/>
      <c r="C24" s="67"/>
      <c r="D24" s="68"/>
      <c r="E24" s="70"/>
      <c r="F24" s="73"/>
      <c r="G24" s="71"/>
      <c r="H24" s="3"/>
      <c r="I24" s="3"/>
      <c r="J24" s="44"/>
      <c r="K24" s="3"/>
    </row>
    <row r="25">
      <c r="B25" s="3"/>
      <c r="C25" s="4"/>
      <c r="D25" s="3"/>
      <c r="E25" s="3"/>
      <c r="F25" s="3" t="s">
        <v>46</v>
      </c>
      <c r="H25" s="3"/>
      <c r="I25" s="3"/>
      <c r="J25" s="3"/>
      <c r="K25" s="3"/>
    </row>
    <row r="26">
      <c r="B26" s="3"/>
      <c r="C26" s="4"/>
      <c r="D26" s="3"/>
      <c r="E26" s="3"/>
      <c r="F26" s="3"/>
      <c r="G26" s="3"/>
      <c r="H26" s="3"/>
      <c r="I26" s="3"/>
      <c r="J26" s="44"/>
      <c r="K26" s="3"/>
    </row>
    <row r="27">
      <c r="B27" s="3" t="s">
        <v>49</v>
      </c>
      <c r="D27" s="3"/>
      <c r="E27" s="3"/>
      <c r="F27" s="3" t="s">
        <v>49</v>
      </c>
      <c r="H27" s="3"/>
      <c r="I27" s="3"/>
      <c r="J27" s="44"/>
      <c r="K27" s="3"/>
    </row>
    <row r="28">
      <c r="B28" s="42" t="s">
        <v>51</v>
      </c>
      <c r="D28" s="3"/>
      <c r="E28" s="3"/>
      <c r="F28" s="3" t="s">
        <v>53</v>
      </c>
      <c r="H28" s="3"/>
      <c r="I28" s="3"/>
      <c r="J28" s="44"/>
      <c r="K28" s="3"/>
    </row>
    <row r="29">
      <c r="B29" s="3"/>
      <c r="C29" s="4"/>
      <c r="D29" s="3"/>
      <c r="E29" s="3"/>
      <c r="F29" s="3"/>
      <c r="G29" s="3"/>
      <c r="H29" s="3"/>
      <c r="I29" s="3"/>
      <c r="J29" s="3"/>
    </row>
    <row r="30">
      <c r="B30" s="78"/>
      <c r="C30" s="4"/>
      <c r="D30" s="3"/>
      <c r="E30" s="3"/>
      <c r="H30" s="3"/>
      <c r="I30" s="3"/>
      <c r="J30" s="79"/>
      <c r="K30" s="3"/>
    </row>
    <row r="31">
      <c r="B31" s="3"/>
      <c r="C31" s="4"/>
      <c r="D31" s="3"/>
      <c r="I31" s="3"/>
      <c r="J31" s="3"/>
      <c r="K31" s="3"/>
    </row>
    <row r="32">
      <c r="B32" s="3"/>
      <c r="C32" s="4"/>
      <c r="D32" s="3"/>
      <c r="I32" s="3"/>
      <c r="J32" s="3"/>
      <c r="K32" s="3"/>
    </row>
    <row r="33">
      <c r="B33" s="80" t="s">
        <v>55</v>
      </c>
      <c r="D33" s="3"/>
      <c r="E33" s="3"/>
      <c r="F33" s="81" t="s">
        <v>57</v>
      </c>
      <c r="H33" s="3"/>
      <c r="I33" s="3"/>
      <c r="J33" s="3"/>
      <c r="K33" s="3"/>
    </row>
    <row r="34">
      <c r="B34" s="42" t="s">
        <v>59</v>
      </c>
      <c r="D34" s="3"/>
      <c r="E34" s="3"/>
      <c r="F34" s="3" t="s">
        <v>60</v>
      </c>
      <c r="H34" s="3"/>
      <c r="I34" s="3"/>
      <c r="J34" s="3"/>
      <c r="K34" s="3"/>
    </row>
    <row r="35">
      <c r="H35" s="3"/>
      <c r="I35" s="3"/>
      <c r="J35" s="3"/>
      <c r="K35" s="3"/>
    </row>
    <row r="36">
      <c r="H36" s="3"/>
      <c r="I36" s="3"/>
      <c r="J36" s="3"/>
      <c r="K36" s="3"/>
    </row>
    <row r="37">
      <c r="H37" s="3"/>
      <c r="I37" s="3"/>
      <c r="J37" s="3"/>
      <c r="K37" s="3"/>
    </row>
    <row r="38">
      <c r="H38" s="3"/>
      <c r="I38" s="3"/>
      <c r="J38" s="3"/>
      <c r="K38" s="3"/>
    </row>
    <row r="39">
      <c r="H39" s="3"/>
      <c r="I39" s="3"/>
      <c r="J39" s="3"/>
      <c r="K39" s="3"/>
    </row>
    <row r="40">
      <c r="H40" s="3"/>
      <c r="I40" s="3"/>
      <c r="J40" s="3"/>
      <c r="K40" s="3"/>
    </row>
    <row r="41">
      <c r="H41" s="3"/>
      <c r="I41" s="3"/>
      <c r="J41" s="3"/>
      <c r="K41" s="3"/>
    </row>
    <row r="42">
      <c r="H42" s="3"/>
      <c r="I42" s="3"/>
      <c r="J42" s="3"/>
      <c r="K42" s="3"/>
    </row>
    <row r="43">
      <c r="H43" s="3"/>
      <c r="I43" s="3"/>
      <c r="J43" s="3"/>
      <c r="K43" s="3"/>
    </row>
    <row r="44">
      <c r="H44" s="3"/>
      <c r="I44" s="3"/>
      <c r="J44" s="3"/>
      <c r="K44" s="3"/>
    </row>
    <row r="45">
      <c r="B45" s="3"/>
      <c r="C45" s="4"/>
      <c r="D45" s="3"/>
      <c r="E45" s="3"/>
      <c r="F45" s="3"/>
      <c r="G45" s="3"/>
      <c r="H45" s="3"/>
      <c r="I45" s="3"/>
      <c r="J45" s="3"/>
      <c r="K45" s="3"/>
    </row>
    <row r="46">
      <c r="B46" s="3"/>
      <c r="C46" s="4"/>
      <c r="D46" s="3"/>
      <c r="E46" s="3"/>
      <c r="F46" s="3"/>
      <c r="G46" s="3"/>
      <c r="H46" s="3"/>
      <c r="I46" s="3"/>
      <c r="J46" s="3"/>
      <c r="K46" s="3"/>
    </row>
    <row r="47">
      <c r="B47" s="3"/>
      <c r="C47" s="4"/>
      <c r="D47" s="3"/>
      <c r="E47" s="3"/>
      <c r="F47" s="3"/>
      <c r="G47" s="3"/>
      <c r="H47" s="3"/>
      <c r="I47" s="3"/>
      <c r="J47" s="3"/>
      <c r="K47" s="3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25">
    <mergeCell ref="C4:G4"/>
    <mergeCell ref="C5:G5"/>
    <mergeCell ref="C6:G6"/>
    <mergeCell ref="C7:G7"/>
    <mergeCell ref="C8:F8"/>
    <mergeCell ref="B10:H10"/>
    <mergeCell ref="B11:H11"/>
    <mergeCell ref="B14:B15"/>
    <mergeCell ref="C14:C15"/>
    <mergeCell ref="D14:E14"/>
    <mergeCell ref="F14:G14"/>
    <mergeCell ref="H14:H15"/>
    <mergeCell ref="B18:E18"/>
    <mergeCell ref="B19:G19"/>
    <mergeCell ref="E30:G32"/>
    <mergeCell ref="F33:G33"/>
    <mergeCell ref="B34:C34"/>
    <mergeCell ref="F34:G34"/>
    <mergeCell ref="F25:G25"/>
    <mergeCell ref="B27:C27"/>
    <mergeCell ref="F27:G27"/>
    <mergeCell ref="B28:C28"/>
    <mergeCell ref="F28:G28"/>
    <mergeCell ref="J29:K29"/>
    <mergeCell ref="B33:C33"/>
  </mergeCells>
  <hyperlinks>
    <hyperlink r:id="rId1" ref="C8"/>
  </hyperlinks>
  <drawing r:id="rId2"/>
</worksheet>
</file>